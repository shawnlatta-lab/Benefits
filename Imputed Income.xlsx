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OneDrive\Desktop\"/>
    </mc:Choice>
  </mc:AlternateContent>
  <xr:revisionPtr revIDLastSave="0" documentId="13_ncr:1_{3B44FF1F-849A-46C0-9212-B7D83E809F53}" xr6:coauthVersionLast="47" xr6:coauthVersionMax="47" xr10:uidLastSave="{00000000-0000-0000-0000-000000000000}"/>
  <bookViews>
    <workbookView xWindow="-108" yWindow="-108" windowWidth="23256" windowHeight="12456" xr2:uid="{2A5A4C46-290C-4E15-A59B-128B92E2F3D9}"/>
  </bookViews>
  <sheets>
    <sheet name="Imputed Income" sheetId="1" r:id="rId1"/>
    <sheet name="Formula Inpu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8" i="1"/>
  <c r="D9" i="1" s="1"/>
  <c r="D10" i="1" s="1"/>
  <c r="D13" i="1" l="1"/>
  <c r="D15" i="1" s="1"/>
</calcChain>
</file>

<file path=xl/sharedStrings.xml><?xml version="1.0" encoding="utf-8"?>
<sst xmlns="http://schemas.openxmlformats.org/spreadsheetml/2006/main" count="53" uniqueCount="52">
  <si>
    <t>The Calculation Formula</t>
  </si>
  <si>
    <t>1. Determine Total Coverage: Total employer-provided group-term life insurance.</t>
  </si>
  <si>
    <t>5. Calculate Monthly Imputed Income: </t>
  </si>
  <si>
    <t>6. Subtract Employee Contribution: Subtract any after-tax money you paid for the insurance. </t>
  </si>
  <si>
    <t>Imputed Income - Life Insurance</t>
  </si>
  <si>
    <t>Employee's Age Range:</t>
  </si>
  <si>
    <t>Less $50,000:</t>
  </si>
  <si>
    <t>Divide by $1000:</t>
  </si>
  <si>
    <t>Total Coverage:</t>
  </si>
  <si>
    <t>Pay Multiplier:</t>
  </si>
  <si>
    <t>Calculate Units</t>
  </si>
  <si>
    <t>Calculate Excess Coverage</t>
  </si>
  <si>
    <t>Simple unit break down for $60K coverage:</t>
  </si>
  <si>
    <t>$60K - $50K = $10K</t>
  </si>
  <si>
    <t>10,000 / 1000 = 10</t>
  </si>
  <si>
    <t>10 total units</t>
  </si>
  <si>
    <t>1 unit = $1000</t>
  </si>
  <si>
    <t>Finding the IRS Table I rates for an employee's age</t>
  </si>
  <si>
    <t>Table I Rate:</t>
  </si>
  <si>
    <t>Table I rate</t>
  </si>
  <si>
    <t>Imputed Income</t>
  </si>
  <si>
    <t>This workbook was created by Shawn Latta as a demonstration of her understanding of Imputed Income.</t>
  </si>
  <si>
    <t>4 Find Table I Cost: 
 from IRS Table I (based on age on the last day of the tax year).</t>
  </si>
  <si>
    <t>3. Calculate Units: Find the monthly cost per excess coverage, dividing by $1000.</t>
  </si>
  <si>
    <t>2. Calculate Excess Coverage:  Coverage amount - $50,000</t>
  </si>
  <si>
    <t>IRS Table I Rates (Monthly per  of coverage) </t>
  </si>
  <si>
    <t>Under 25 </t>
  </si>
  <si>
    <t>25–29 </t>
  </si>
  <si>
    <t>30–34 </t>
  </si>
  <si>
    <t>35–39 </t>
  </si>
  <si>
    <t>40–44 </t>
  </si>
  <si>
    <t>45–49 </t>
  </si>
  <si>
    <t>50–54 </t>
  </si>
  <si>
    <t>55–59 </t>
  </si>
  <si>
    <t>60–64 </t>
  </si>
  <si>
    <t>65–69 </t>
  </si>
  <si>
    <t>70+ </t>
  </si>
  <si>
    <t>Monthly  Rate</t>
  </si>
  <si>
    <t>Monthly Employee's Cost</t>
  </si>
  <si>
    <t>Monthly Imputed Income:</t>
  </si>
  <si>
    <t>John is 48, with a base annual salary of $61,500 (annual salary = hourly rate x scheduled work week x 52). To calculate John's I50 income, take his base annual salary and round down to the nearest thousand: $61,000. Now subtract $50,000 (to find the amount that is over $50,000). Divide that by $1,000: 11. Multiple 11 times the cost per $1,000 in the table above (11 x $0.15 = $1.65). His I50 income would be $1.65 per month. If John chooses not to cap his Basic Life insurance, at the end of the year he will have taxable life insurance income of $19.80 ($1.65 x 12 =$19.80).</t>
  </si>
  <si>
    <t>Important Insurance Changes</t>
  </si>
  <si>
    <r>
      <rPr>
        <b/>
        <sz val="11"/>
        <color theme="1"/>
        <rFont val="Aptos Display"/>
        <family val="2"/>
        <scheme val="major"/>
      </rPr>
      <t>Note:</t>
    </r>
    <r>
      <rPr>
        <sz val="11"/>
        <color theme="1"/>
        <rFont val="Aptos Display"/>
        <family val="2"/>
        <scheme val="major"/>
      </rPr>
      <t xml:space="preserve"> A unit is the difference amount between the $50K and total coverage elected divided by 1000.</t>
    </r>
  </si>
  <si>
    <r>
      <t xml:space="preserve">Example: 
</t>
    </r>
    <r>
      <rPr>
        <sz val="10"/>
        <color rgb="FF212529"/>
        <rFont val="Aptos Display"/>
        <family val="2"/>
        <scheme val="major"/>
      </rPr>
      <t>John is 48, with a base annual salary of $61,500 (annual salary = hourly rate x scheduled work week x 52). To calculate John's I50 income, take his base annual salary and round down to the nearest thousand: $61,000. Now subtract $50,000 (to find the amount that is over $50,000). Divide that by $1,000: 11. Multiple 11 times the cost per $1,000 in the table above (11 x $0.15 = $1.65). His I50 income would be $1.65 per month. If John chooses not to cap his Basic Life insurance, at the end of the year he will have taxable life insurance income of $19.80 ($1.65 x 12 =$19.80).</t>
    </r>
  </si>
  <si>
    <t>Also known as I50 Income</t>
  </si>
  <si>
    <t>Amount of pay covered by the plan</t>
  </si>
  <si>
    <t>Determine Total Coverage: Total employer-provided group-term life insurance.</t>
  </si>
  <si>
    <t>Employee's Annual Income:</t>
  </si>
  <si>
    <r>
      <rPr>
        <b/>
        <sz val="11"/>
        <color theme="1"/>
        <rFont val="Aptos Display"/>
        <family val="2"/>
        <scheme val="major"/>
      </rPr>
      <t>Note:</t>
    </r>
    <r>
      <rPr>
        <sz val="11"/>
        <color theme="1"/>
        <rFont val="Aptos Display"/>
        <family val="2"/>
        <scheme val="major"/>
      </rPr>
      <t xml:space="preserve"> If you know overall coverage amount, you can plug that amount into the in Annual Income line and use the pay mutlplier of 1.</t>
    </r>
  </si>
  <si>
    <t>Example is from the City of Austin, TX</t>
  </si>
  <si>
    <r>
      <rPr>
        <b/>
        <sz val="11"/>
        <color theme="1"/>
        <rFont val="Aptos Display"/>
        <family val="2"/>
        <scheme val="major"/>
      </rPr>
      <t>Note</t>
    </r>
    <r>
      <rPr>
        <sz val="11"/>
        <color theme="1"/>
        <rFont val="Aptos Display"/>
        <family val="2"/>
        <scheme val="major"/>
      </rPr>
      <t>: Rounding of the coverage may be performed in the calculation of the plan at the coverage level and not in the imputed income level.</t>
    </r>
  </si>
  <si>
    <t>If rate is negative, there is no imputed income.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</si>
</sst>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i/>
      <sz val="11"/>
      <color theme="3" tint="0.249977111117893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0"/>
      <color rgb="FF212529"/>
      <name val="Aptos Display"/>
      <family val="2"/>
      <scheme val="major"/>
    </font>
    <font>
      <sz val="10"/>
      <color rgb="FF212529"/>
      <name val="Aptos Display"/>
      <family val="2"/>
      <scheme val="major"/>
    </font>
    <font>
      <b/>
      <u/>
      <sz val="11"/>
      <color theme="10"/>
      <name val="Aptos Display"/>
      <family val="2"/>
      <scheme val="major"/>
    </font>
    <font>
      <b/>
      <i/>
      <sz val="16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i/>
      <u/>
      <sz val="11"/>
      <color theme="3" tint="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8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8" fontId="2" fillId="4" borderId="1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vertical="top" wrapText="1"/>
    </xf>
    <xf numFmtId="0" fontId="8" fillId="2" borderId="0" xfId="1" applyFont="1" applyFill="1"/>
    <xf numFmtId="0" fontId="9" fillId="3" borderId="0" xfId="0" applyFont="1" applyFill="1"/>
    <xf numFmtId="0" fontId="10" fillId="2" borderId="0" xfId="0" applyFont="1" applyFill="1"/>
    <xf numFmtId="0" fontId="11" fillId="2" borderId="0" xfId="1" applyFont="1" applyFill="1"/>
    <xf numFmtId="0" fontId="2" fillId="2" borderId="0" xfId="0" applyFont="1" applyFill="1" applyAlignment="1">
      <alignment horizontal="left" indent="3"/>
    </xf>
    <xf numFmtId="0" fontId="2" fillId="4" borderId="1" xfId="0" applyFont="1" applyFill="1" applyBorder="1" applyAlignment="1" applyProtection="1">
      <alignment horizontal="left" vertical="center"/>
      <protection locked="0"/>
    </xf>
    <xf numFmtId="164" fontId="2" fillId="4" borderId="1" xfId="0" applyNumberFormat="1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es.austintexas.gov/hr/imputed_income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FD02-D522-4E4E-94A8-B6934ACB993B}">
  <dimension ref="B1:Q31"/>
  <sheetViews>
    <sheetView tabSelected="1" workbookViewId="0">
      <selection activeCell="H23" sqref="H23"/>
    </sheetView>
  </sheetViews>
  <sheetFormatPr defaultRowHeight="14.4" x14ac:dyDescent="0.3"/>
  <cols>
    <col min="1" max="1" width="8.88671875" style="2"/>
    <col min="2" max="2" width="14.88671875" style="2" customWidth="1"/>
    <col min="3" max="3" width="12.33203125" style="2" customWidth="1"/>
    <col min="4" max="4" width="18.33203125" style="3" customWidth="1"/>
    <col min="5" max="16384" width="8.88671875" style="2"/>
  </cols>
  <sheetData>
    <row r="1" spans="2:17" x14ac:dyDescent="0.3">
      <c r="H1" s="4" t="s">
        <v>21</v>
      </c>
    </row>
    <row r="3" spans="2:17" s="5" customFormat="1" ht="21" x14ac:dyDescent="0.4">
      <c r="B3" s="5" t="s">
        <v>4</v>
      </c>
      <c r="D3" s="6"/>
      <c r="F3" s="11" t="s">
        <v>44</v>
      </c>
    </row>
    <row r="6" spans="2:17" x14ac:dyDescent="0.3">
      <c r="B6" s="2" t="s">
        <v>47</v>
      </c>
      <c r="D6" s="16">
        <v>61000</v>
      </c>
      <c r="F6" s="2" t="s">
        <v>46</v>
      </c>
    </row>
    <row r="7" spans="2:17" ht="14.4" customHeight="1" x14ac:dyDescent="0.3">
      <c r="B7" s="2" t="s">
        <v>9</v>
      </c>
      <c r="D7" s="15">
        <v>1</v>
      </c>
      <c r="F7" s="2" t="s">
        <v>45</v>
      </c>
      <c r="K7" s="18" t="s">
        <v>48</v>
      </c>
      <c r="L7" s="18"/>
      <c r="M7" s="18"/>
      <c r="N7" s="18"/>
      <c r="O7" s="18"/>
      <c r="P7" s="18"/>
      <c r="Q7" s="18"/>
    </row>
    <row r="8" spans="2:17" x14ac:dyDescent="0.3">
      <c r="B8" s="2" t="s">
        <v>8</v>
      </c>
      <c r="D8" s="7">
        <f>D6*D7</f>
        <v>61000</v>
      </c>
      <c r="K8" s="18"/>
      <c r="L8" s="18"/>
      <c r="M8" s="18"/>
      <c r="N8" s="18"/>
      <c r="O8" s="18"/>
      <c r="P8" s="18"/>
      <c r="Q8" s="18"/>
    </row>
    <row r="9" spans="2:17" x14ac:dyDescent="0.3">
      <c r="B9" s="2" t="s">
        <v>6</v>
      </c>
      <c r="D9" s="7">
        <f>D8-50000</f>
        <v>11000</v>
      </c>
      <c r="F9" s="2" t="s">
        <v>11</v>
      </c>
    </row>
    <row r="10" spans="2:17" x14ac:dyDescent="0.3">
      <c r="B10" s="2" t="s">
        <v>7</v>
      </c>
      <c r="D10" s="7">
        <f>D9/1000</f>
        <v>11</v>
      </c>
      <c r="F10" s="2" t="s">
        <v>10</v>
      </c>
      <c r="K10" s="2" t="s">
        <v>42</v>
      </c>
    </row>
    <row r="11" spans="2:17" x14ac:dyDescent="0.3">
      <c r="B11" s="2" t="s">
        <v>5</v>
      </c>
      <c r="D11" s="15" t="s">
        <v>31</v>
      </c>
      <c r="F11" s="2" t="s">
        <v>17</v>
      </c>
    </row>
    <row r="12" spans="2:17" x14ac:dyDescent="0.3">
      <c r="B12" s="2" t="s">
        <v>18</v>
      </c>
      <c r="D12" s="7">
        <f>_xlfn.XLOOKUP(D11,'Formula Inputs'!L3:L13,'Formula Inputs'!M3:M13,"-----")</f>
        <v>0.15</v>
      </c>
      <c r="F12" s="2" t="s">
        <v>19</v>
      </c>
      <c r="K12" s="14" t="s">
        <v>12</v>
      </c>
    </row>
    <row r="13" spans="2:17" x14ac:dyDescent="0.3">
      <c r="B13" s="2" t="s">
        <v>37</v>
      </c>
      <c r="D13" s="7">
        <f>D10*D12</f>
        <v>1.65</v>
      </c>
      <c r="F13" s="2" t="s">
        <v>20</v>
      </c>
      <c r="K13" s="14" t="s">
        <v>13</v>
      </c>
    </row>
    <row r="14" spans="2:17" x14ac:dyDescent="0.3">
      <c r="B14" s="2" t="s">
        <v>38</v>
      </c>
      <c r="D14" s="16">
        <v>0</v>
      </c>
      <c r="K14" s="14" t="s">
        <v>14</v>
      </c>
    </row>
    <row r="15" spans="2:17" x14ac:dyDescent="0.3">
      <c r="B15" s="2" t="s">
        <v>39</v>
      </c>
      <c r="D15" s="8">
        <f>D13-D14</f>
        <v>1.65</v>
      </c>
      <c r="F15" s="2" t="s">
        <v>51</v>
      </c>
      <c r="K15" s="14" t="s">
        <v>15</v>
      </c>
    </row>
    <row r="16" spans="2:17" x14ac:dyDescent="0.3">
      <c r="K16" s="14" t="s">
        <v>16</v>
      </c>
    </row>
    <row r="18" spans="2:6" ht="15" customHeight="1" x14ac:dyDescent="0.3">
      <c r="B18" s="9" t="s">
        <v>43</v>
      </c>
      <c r="C18" s="9"/>
      <c r="D18" s="9"/>
      <c r="E18" s="9"/>
    </row>
    <row r="19" spans="2:6" x14ac:dyDescent="0.3">
      <c r="B19" s="17" t="s">
        <v>40</v>
      </c>
      <c r="C19" s="17"/>
      <c r="D19" s="17"/>
      <c r="E19" s="17"/>
      <c r="F19" s="2" t="s">
        <v>50</v>
      </c>
    </row>
    <row r="20" spans="2:6" x14ac:dyDescent="0.3">
      <c r="B20" s="17"/>
      <c r="C20" s="17"/>
      <c r="D20" s="17"/>
      <c r="E20" s="17"/>
    </row>
    <row r="21" spans="2:6" x14ac:dyDescent="0.3">
      <c r="B21" s="17"/>
      <c r="C21" s="17"/>
      <c r="D21" s="17"/>
      <c r="E21" s="17"/>
    </row>
    <row r="22" spans="2:6" x14ac:dyDescent="0.3">
      <c r="B22" s="17"/>
      <c r="C22" s="17"/>
      <c r="D22" s="17"/>
      <c r="E22" s="17"/>
    </row>
    <row r="23" spans="2:6" x14ac:dyDescent="0.3">
      <c r="B23" s="17"/>
      <c r="C23" s="17"/>
      <c r="D23" s="17"/>
      <c r="E23" s="17"/>
    </row>
    <row r="24" spans="2:6" x14ac:dyDescent="0.3">
      <c r="B24" s="17"/>
      <c r="C24" s="17"/>
      <c r="D24" s="17"/>
      <c r="E24" s="17"/>
    </row>
    <row r="25" spans="2:6" x14ac:dyDescent="0.3">
      <c r="B25" s="17"/>
      <c r="C25" s="17"/>
      <c r="D25" s="17"/>
      <c r="E25" s="17"/>
    </row>
    <row r="26" spans="2:6" x14ac:dyDescent="0.3">
      <c r="B26" s="17"/>
      <c r="C26" s="17"/>
      <c r="D26" s="17"/>
      <c r="E26" s="17"/>
    </row>
    <row r="27" spans="2:6" x14ac:dyDescent="0.3">
      <c r="B27" s="17"/>
      <c r="C27" s="17"/>
      <c r="D27" s="17"/>
      <c r="E27" s="17"/>
    </row>
    <row r="28" spans="2:6" x14ac:dyDescent="0.3">
      <c r="B28" s="17"/>
      <c r="C28" s="17"/>
      <c r="D28" s="17"/>
      <c r="E28" s="17"/>
    </row>
    <row r="29" spans="2:6" x14ac:dyDescent="0.3">
      <c r="B29" s="12" t="s">
        <v>49</v>
      </c>
    </row>
    <row r="30" spans="2:6" x14ac:dyDescent="0.3">
      <c r="B30" s="13" t="s">
        <v>41</v>
      </c>
    </row>
    <row r="31" spans="2:6" x14ac:dyDescent="0.3">
      <c r="B31" s="10"/>
    </row>
  </sheetData>
  <sheetProtection sheet="1" objects="1" scenarios="1"/>
  <mergeCells count="2">
    <mergeCell ref="B19:E28"/>
    <mergeCell ref="K7:Q8"/>
  </mergeCells>
  <dataValidations count="1">
    <dataValidation type="whole" allowBlank="1" showInputMessage="1" showErrorMessage="1" sqref="D6:D7 D14" xr:uid="{BEBEC236-374A-4CF6-9633-832BE2CA3108}">
      <formula1>0</formula1>
      <formula2>100000000</formula2>
    </dataValidation>
  </dataValidations>
  <hyperlinks>
    <hyperlink ref="B30" r:id="rId1" xr:uid="{2CCEA5C2-347F-4A71-BE85-A9B1643CBD4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7AC44B-3C4A-4FF2-A59C-4058D14BF95F}">
          <x14:formula1>
            <xm:f>'Formula Inputs'!$L$3:$L$13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7E16-6A4D-4115-A1B7-C3E5196A19B2}">
  <dimension ref="A1:M13"/>
  <sheetViews>
    <sheetView workbookViewId="0">
      <selection activeCell="A8" sqref="A8"/>
    </sheetView>
  </sheetViews>
  <sheetFormatPr defaultRowHeight="14.4" x14ac:dyDescent="0.3"/>
  <sheetData>
    <row r="1" spans="1:13" x14ac:dyDescent="0.3">
      <c r="A1" t="s">
        <v>0</v>
      </c>
      <c r="L1" t="s">
        <v>25</v>
      </c>
    </row>
    <row r="2" spans="1:13" x14ac:dyDescent="0.3">
      <c r="A2" t="s">
        <v>1</v>
      </c>
    </row>
    <row r="3" spans="1:13" x14ac:dyDescent="0.3">
      <c r="A3" t="s">
        <v>24</v>
      </c>
      <c r="L3" t="s">
        <v>26</v>
      </c>
      <c r="M3" s="1">
        <v>0.05</v>
      </c>
    </row>
    <row r="4" spans="1:13" x14ac:dyDescent="0.3">
      <c r="A4" t="s">
        <v>23</v>
      </c>
      <c r="L4" t="s">
        <v>27</v>
      </c>
      <c r="M4" s="1">
        <v>0.06</v>
      </c>
    </row>
    <row r="5" spans="1:13" x14ac:dyDescent="0.3">
      <c r="A5" t="s">
        <v>22</v>
      </c>
      <c r="L5" t="s">
        <v>28</v>
      </c>
      <c r="M5" s="1">
        <v>0.08</v>
      </c>
    </row>
    <row r="6" spans="1:13" x14ac:dyDescent="0.3">
      <c r="A6" t="s">
        <v>2</v>
      </c>
      <c r="L6" t="s">
        <v>29</v>
      </c>
      <c r="M6" s="1">
        <v>0.09</v>
      </c>
    </row>
    <row r="7" spans="1:13" x14ac:dyDescent="0.3">
      <c r="A7" t="s">
        <v>3</v>
      </c>
      <c r="L7" t="s">
        <v>30</v>
      </c>
      <c r="M7" s="1">
        <v>0.1</v>
      </c>
    </row>
    <row r="8" spans="1:13" x14ac:dyDescent="0.3">
      <c r="L8" t="s">
        <v>31</v>
      </c>
      <c r="M8" s="1">
        <v>0.15</v>
      </c>
    </row>
    <row r="9" spans="1:13" x14ac:dyDescent="0.3">
      <c r="L9" t="s">
        <v>32</v>
      </c>
      <c r="M9" s="1">
        <v>0.23</v>
      </c>
    </row>
    <row r="10" spans="1:13" x14ac:dyDescent="0.3">
      <c r="L10" t="s">
        <v>33</v>
      </c>
      <c r="M10" s="1">
        <v>0.43</v>
      </c>
    </row>
    <row r="11" spans="1:13" x14ac:dyDescent="0.3">
      <c r="L11" t="s">
        <v>34</v>
      </c>
      <c r="M11" s="1">
        <v>0.66</v>
      </c>
    </row>
    <row r="12" spans="1:13" x14ac:dyDescent="0.3">
      <c r="L12" t="s">
        <v>35</v>
      </c>
      <c r="M12" s="1">
        <v>1.27</v>
      </c>
    </row>
    <row r="13" spans="1:13" x14ac:dyDescent="0.3">
      <c r="L13" t="s">
        <v>36</v>
      </c>
      <c r="M13" s="1">
        <v>2.06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Imputed Income</vt:lpstr>
      <vt:lpstr>Formula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Latta</dc:creator>
  <cp:lastModifiedBy>Shawn Latta</cp:lastModifiedBy>
  <dcterms:created xsi:type="dcterms:W3CDTF">2026-03-28T20:03:11Z</dcterms:created>
  <dcterms:modified xsi:type="dcterms:W3CDTF">2026-03-28T22:28:36Z</dcterms:modified>
</cp:coreProperties>
</file>